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Matrix" sheetId="1" state="visible" r:id="rId1"/>
    <sheet xmlns:r="http://schemas.openxmlformats.org/officeDocument/2006/relationships" name="3-Year TCO Model" sheetId="2" state="visible" r:id="rId2"/>
    <sheet xmlns:r="http://schemas.openxmlformats.org/officeDocument/2006/relationships" name="Decision Triggers" sheetId="3" state="visible" r:id="rId3"/>
  </sheets>
  <definedNames>
    <definedName name="_xlnm._FilterDatabase" localSheetId="0" hidden="1">'Feature Matrix'!$A$4:$G$48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00162A50"/>
      <sz val="16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9C5700"/>
      <sz val="10"/>
    </font>
    <font>
      <name val="Calibri"/>
      <b val="1"/>
      <color rgb="00006100"/>
      <sz val="10"/>
    </font>
    <font>
      <name val="Calibri"/>
      <b val="1"/>
      <color rgb="00FFFFFF"/>
      <sz val="12"/>
    </font>
    <font>
      <name val="Calibri"/>
      <b val="1"/>
      <sz val="11"/>
    </font>
    <font>
      <name val="Calibri"/>
      <b val="1"/>
      <color rgb="00006100"/>
      <sz val="11"/>
    </font>
    <font>
      <name val="Calibri"/>
      <sz val="11"/>
    </font>
    <font>
      <name val="Calibri"/>
      <b val="1"/>
      <color rgb="009C0006"/>
      <sz val="11"/>
    </font>
  </fonts>
  <fills count="9">
    <fill>
      <patternFill/>
    </fill>
    <fill>
      <patternFill patternType="gray125"/>
    </fill>
    <fill>
      <patternFill patternType="solid">
        <fgColor rgb="00162A50"/>
      </patternFill>
    </fill>
    <fill>
      <patternFill patternType="solid">
        <fgColor rgb="00F8FAFC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1E3A8A"/>
      </patternFill>
    </fill>
    <fill>
      <patternFill patternType="solid">
        <fgColor rgb="00E6EEF8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8" fillId="2" borderId="0" pivotButton="0" quotePrefix="0" xfId="0"/>
    <xf numFmtId="0" fontId="9" fillId="0" borderId="0" pivotButton="0" quotePrefix="0" xfId="0"/>
    <xf numFmtId="0" fontId="10" fillId="6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left" vertical="center" wrapText="1"/>
    </xf>
    <xf numFmtId="164" fontId="11" fillId="3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left" vertical="center" wrapText="1"/>
    </xf>
    <xf numFmtId="164" fontId="11" fillId="0" borderId="1" applyAlignment="1" pivotButton="0" quotePrefix="0" xfId="0">
      <alignment horizontal="right" vertical="center" wrapText="1"/>
    </xf>
    <xf numFmtId="0" fontId="9" fillId="8" borderId="1" applyAlignment="1" pivotButton="0" quotePrefix="0" xfId="0">
      <alignment horizontal="left" vertical="center" wrapText="1"/>
    </xf>
    <xf numFmtId="164" fontId="9" fillId="8" borderId="1" applyAlignment="1" pivotButton="0" quotePrefix="0" xfId="0">
      <alignment horizontal="right" vertical="center" wrapText="1"/>
    </xf>
    <xf numFmtId="164" fontId="12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3" fillId="7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32" customWidth="1" min="3" max="3"/>
    <col width="32" customWidth="1" min="4" max="4"/>
    <col width="32" customWidth="1" min="5" max="5"/>
    <col width="16" customWidth="1" min="6" max="6"/>
    <col width="50" customWidth="1" min="7" max="7"/>
  </cols>
  <sheetData>
    <row r="1">
      <c r="A1" s="1" t="inlineStr">
        <is>
          <t>Sleepnet ERP Decision — Feature Comparison Matrix</t>
        </is>
      </c>
    </row>
    <row r="2">
      <c r="A2" s="2" t="inlineStr">
        <is>
          <t>Prepared April 2026 by Fructify Solutions for Ronnie Moulton, Sleepnet Corporation</t>
        </is>
      </c>
    </row>
    <row r="4" ht="30" customHeight="1">
      <c r="A4" s="3" t="inlineStr">
        <is>
          <t>Category</t>
        </is>
      </c>
      <c r="B4" s="3" t="inlineStr">
        <is>
          <t>Feature / Capability</t>
        </is>
      </c>
      <c r="C4" s="3" t="inlineStr">
        <is>
          <t>MISys + QuickBooks</t>
        </is>
      </c>
      <c r="D4" s="3" t="inlineStr">
        <is>
          <t>Acumatica Mfg Edition</t>
        </is>
      </c>
      <c r="E4" s="3" t="inlineStr">
        <is>
          <t>NetSuite Mfg Edition</t>
        </is>
      </c>
      <c r="F4" s="3" t="inlineStr">
        <is>
          <t>Sleepnet Priority</t>
        </is>
      </c>
      <c r="G4" s="3" t="inlineStr">
        <is>
          <t>Notes</t>
        </is>
      </c>
    </row>
    <row r="5" ht="36" customHeight="1">
      <c r="A5" s="4" t="inlineStr">
        <is>
          <t>Architecture</t>
        </is>
      </c>
      <c r="B5" s="4" t="inlineStr">
        <is>
          <t>Single source of truth</t>
        </is>
      </c>
      <c r="C5" s="4" t="inlineStr">
        <is>
          <t>No (two databases)</t>
        </is>
      </c>
      <c r="D5" s="4" t="inlineStr">
        <is>
          <t>Yes</t>
        </is>
      </c>
      <c r="E5" s="4" t="inlineStr">
        <is>
          <t>Yes</t>
        </is>
      </c>
      <c r="F5" s="5" t="inlineStr">
        <is>
          <t>High</t>
        </is>
      </c>
      <c r="G5" s="4" t="inlineStr">
        <is>
          <t>Eliminates sync reconciliation work</t>
        </is>
      </c>
    </row>
    <row r="6" ht="36" customHeight="1">
      <c r="A6" s="6" t="inlineStr">
        <is>
          <t>Architecture</t>
        </is>
      </c>
      <c r="B6" s="6" t="inlineStr">
        <is>
          <t>Cloud-native deployment</t>
        </is>
      </c>
      <c r="C6" s="6" t="inlineStr">
        <is>
          <t>Hybrid (QB Online cloud, MISys server-based)</t>
        </is>
      </c>
      <c r="D6" s="6" t="inlineStr">
        <is>
          <t>Fully cloud-native</t>
        </is>
      </c>
      <c r="E6" s="6" t="inlineStr">
        <is>
          <t>Fully cloud-native</t>
        </is>
      </c>
      <c r="F6" s="7" t="inlineStr">
        <is>
          <t>Medium</t>
        </is>
      </c>
      <c r="G6" s="6" t="inlineStr">
        <is>
          <t>Affects IT overhead and remote access</t>
        </is>
      </c>
    </row>
    <row r="7" ht="36" customHeight="1">
      <c r="A7" s="4" t="inlineStr">
        <is>
          <t>Architecture</t>
        </is>
      </c>
      <c r="B7" s="4" t="inlineStr">
        <is>
          <t>Mobile / browser-based access</t>
        </is>
      </c>
      <c r="C7" s="4" t="inlineStr">
        <is>
          <t>Limited</t>
        </is>
      </c>
      <c r="D7" s="4" t="inlineStr">
        <is>
          <t>Native browser + mobile app</t>
        </is>
      </c>
      <c r="E7" s="4" t="inlineStr">
        <is>
          <t>Native browser + mobile app</t>
        </is>
      </c>
      <c r="F7" s="7" t="inlineStr">
        <is>
          <t>Medium</t>
        </is>
      </c>
      <c r="G7" s="4" t="inlineStr">
        <is>
          <t>Useful for shop floor and remote sales</t>
        </is>
      </c>
    </row>
    <row r="8" ht="36" customHeight="1">
      <c r="A8" s="6" t="inlineStr">
        <is>
          <t>Financials</t>
        </is>
      </c>
      <c r="B8" s="6" t="inlineStr">
        <is>
          <t>GL, AP, AR, banking</t>
        </is>
      </c>
      <c r="C8" s="6" t="inlineStr">
        <is>
          <t>QuickBooks (mature)</t>
        </is>
      </c>
      <c r="D8" s="6" t="inlineStr">
        <is>
          <t>Native, full-featured</t>
        </is>
      </c>
      <c r="E8" s="6" t="inlineStr">
        <is>
          <t>Native, full-featured</t>
        </is>
      </c>
      <c r="F8" s="5" t="inlineStr">
        <is>
          <t>High</t>
        </is>
      </c>
      <c r="G8" s="6" t="inlineStr">
        <is>
          <t>QB is well-loved by bookkeepers; switching = retraining</t>
        </is>
      </c>
    </row>
    <row r="9" ht="36" customHeight="1">
      <c r="A9" s="4" t="inlineStr">
        <is>
          <t>Financials</t>
        </is>
      </c>
      <c r="B9" s="4" t="inlineStr">
        <is>
          <t>Multi-entity / intercompany</t>
        </is>
      </c>
      <c r="C9" s="4" t="inlineStr">
        <is>
          <t>Limited (separate QB files)</t>
        </is>
      </c>
      <c r="D9" s="4" t="inlineStr">
        <is>
          <t>Native</t>
        </is>
      </c>
      <c r="E9" s="4" t="inlineStr">
        <is>
          <t>Native (deepest)</t>
        </is>
      </c>
      <c r="F9" s="8" t="inlineStr">
        <is>
          <t>Low (today)</t>
        </is>
      </c>
      <c r="G9" s="4" t="inlineStr">
        <is>
          <t>Becomes high if Sleepnet adds 2nd entity</t>
        </is>
      </c>
    </row>
    <row r="10" ht="36" customHeight="1">
      <c r="A10" s="6" t="inlineStr">
        <is>
          <t>Financials</t>
        </is>
      </c>
      <c r="B10" s="6" t="inlineStr">
        <is>
          <t>Multi-currency</t>
        </is>
      </c>
      <c r="C10" s="6" t="inlineStr">
        <is>
          <t>Yes in QB Enterprise / Online add-on</t>
        </is>
      </c>
      <c r="D10" s="6" t="inlineStr">
        <is>
          <t>Native</t>
        </is>
      </c>
      <c r="E10" s="6" t="inlineStr">
        <is>
          <t>Native</t>
        </is>
      </c>
      <c r="F10" s="7" t="inlineStr">
        <is>
          <t>Medium</t>
        </is>
      </c>
      <c r="G10" s="6" t="inlineStr">
        <is>
          <t>Sleepnet exports to 53+ countries — currency conversion matters</t>
        </is>
      </c>
    </row>
    <row r="11" ht="36" customHeight="1">
      <c r="A11" s="4" t="inlineStr">
        <is>
          <t>Financials</t>
        </is>
      </c>
      <c r="B11" s="4" t="inlineStr">
        <is>
          <t>Real-time GL update from production</t>
        </is>
      </c>
      <c r="C11" s="4" t="inlineStr">
        <is>
          <t>Batch sync (period-end)</t>
        </is>
      </c>
      <c r="D11" s="4" t="inlineStr">
        <is>
          <t>Real-time</t>
        </is>
      </c>
      <c r="E11" s="4" t="inlineStr">
        <is>
          <t>Real-time</t>
        </is>
      </c>
      <c r="F11" s="5" t="inlineStr">
        <is>
          <t>High</t>
        </is>
      </c>
      <c r="G11" s="4" t="inlineStr">
        <is>
          <t>Affects month-end close speed</t>
        </is>
      </c>
    </row>
    <row r="12" ht="36" customHeight="1">
      <c r="A12" s="6" t="inlineStr">
        <is>
          <t>Financials</t>
        </is>
      </c>
      <c r="B12" s="6" t="inlineStr">
        <is>
          <t>Product-line P&amp;L by segment</t>
        </is>
      </c>
      <c r="C12" s="6" t="inlineStr">
        <is>
          <t>QB Class tracking + manual rollup</t>
        </is>
      </c>
      <c r="D12" s="6" t="inlineStr">
        <is>
          <t>Native via dimensions</t>
        </is>
      </c>
      <c r="E12" s="6" t="inlineStr">
        <is>
          <t>Native via segments</t>
        </is>
      </c>
      <c r="F12" s="5" t="inlineStr">
        <is>
          <t>High</t>
        </is>
      </c>
      <c r="G12" s="6" t="inlineStr">
        <is>
          <t>Critical for the strategic R&amp;D allocation conversation</t>
        </is>
      </c>
    </row>
    <row r="13" ht="36" customHeight="1">
      <c r="A13" s="4" t="inlineStr">
        <is>
          <t>Manufacturing</t>
        </is>
      </c>
      <c r="B13" s="4" t="inlineStr">
        <is>
          <t>BOM management (multi-level)</t>
        </is>
      </c>
      <c r="C13" s="4" t="inlineStr">
        <is>
          <t>MISys (purpose-built)</t>
        </is>
      </c>
      <c r="D13" s="4" t="inlineStr">
        <is>
          <t>Native</t>
        </is>
      </c>
      <c r="E13" s="4" t="inlineStr">
        <is>
          <t>Native</t>
        </is>
      </c>
      <c r="F13" s="5" t="inlineStr">
        <is>
          <t>High</t>
        </is>
      </c>
      <c r="G13" s="4" t="inlineStr">
        <is>
          <t>All three handle this well</t>
        </is>
      </c>
    </row>
    <row r="14" ht="36" customHeight="1">
      <c r="A14" s="6" t="inlineStr">
        <is>
          <t>Manufacturing</t>
        </is>
      </c>
      <c r="B14" s="6" t="inlineStr">
        <is>
          <t>MRP / production scheduling</t>
        </is>
      </c>
      <c r="C14" s="6" t="inlineStr">
        <is>
          <t>MISys</t>
        </is>
      </c>
      <c r="D14" s="6" t="inlineStr">
        <is>
          <t>Native, more sophisticated</t>
        </is>
      </c>
      <c r="E14" s="6" t="inlineStr">
        <is>
          <t>Native, most mature</t>
        </is>
      </c>
      <c r="F14" s="5" t="inlineStr">
        <is>
          <t>High</t>
        </is>
      </c>
      <c r="G14" s="6" t="inlineStr"/>
    </row>
    <row r="15" ht="36" customHeight="1">
      <c r="A15" s="4" t="inlineStr">
        <is>
          <t>Manufacturing</t>
        </is>
      </c>
      <c r="B15" s="4" t="inlineStr">
        <is>
          <t>Work order management</t>
        </is>
      </c>
      <c r="C15" s="4" t="inlineStr">
        <is>
          <t>MISys</t>
        </is>
      </c>
      <c r="D15" s="4" t="inlineStr">
        <is>
          <t>Native + mobile shop floor</t>
        </is>
      </c>
      <c r="E15" s="4" t="inlineStr">
        <is>
          <t>Native + mobile shop floor</t>
        </is>
      </c>
      <c r="F15" s="5" t="inlineStr">
        <is>
          <t>High</t>
        </is>
      </c>
      <c r="G15" s="4" t="inlineStr"/>
    </row>
    <row r="16" ht="36" customHeight="1">
      <c r="A16" s="6" t="inlineStr">
        <is>
          <t>Manufacturing</t>
        </is>
      </c>
      <c r="B16" s="6" t="inlineStr">
        <is>
          <t>Shop floor data collection</t>
        </is>
      </c>
      <c r="C16" s="6" t="inlineStr">
        <is>
          <t>Limited (MISys SFDC module add-on)</t>
        </is>
      </c>
      <c r="D16" s="6" t="inlineStr">
        <is>
          <t>Native, included</t>
        </is>
      </c>
      <c r="E16" s="6" t="inlineStr">
        <is>
          <t>Native, included</t>
        </is>
      </c>
      <c r="F16" s="7" t="inlineStr">
        <is>
          <t>Medium</t>
        </is>
      </c>
      <c r="G16" s="6" t="inlineStr">
        <is>
          <t>Enables operator time/material logging</t>
        </is>
      </c>
    </row>
    <row r="17" ht="36" customHeight="1">
      <c r="A17" s="4" t="inlineStr">
        <is>
          <t>Manufacturing</t>
        </is>
      </c>
      <c r="B17" s="4" t="inlineStr">
        <is>
          <t>Routing &amp; operations</t>
        </is>
      </c>
      <c r="C17" s="4" t="inlineStr">
        <is>
          <t>Yes (Advanced Production)</t>
        </is>
      </c>
      <c r="D17" s="4" t="inlineStr">
        <is>
          <t>Native</t>
        </is>
      </c>
      <c r="E17" s="4" t="inlineStr">
        <is>
          <t>Native</t>
        </is>
      </c>
      <c r="F17" s="7" t="inlineStr">
        <is>
          <t>Medium</t>
        </is>
      </c>
      <c r="G17" s="4" t="inlineStr"/>
    </row>
    <row r="18" ht="36" customHeight="1">
      <c r="A18" s="6" t="inlineStr">
        <is>
          <t>Manufacturing</t>
        </is>
      </c>
      <c r="B18" s="6" t="inlineStr">
        <is>
          <t>Engineering change orders (ECO)</t>
        </is>
      </c>
      <c r="C18" s="6" t="inlineStr">
        <is>
          <t>Yes (Advanced Production)</t>
        </is>
      </c>
      <c r="D18" s="6" t="inlineStr">
        <is>
          <t>Native ECO workflow</t>
        </is>
      </c>
      <c r="E18" s="6" t="inlineStr">
        <is>
          <t>Native ECO workflow</t>
        </is>
      </c>
      <c r="F18" s="5" t="inlineStr">
        <is>
          <t>High</t>
        </is>
      </c>
      <c r="G18" s="6" t="inlineStr">
        <is>
          <t>Critical for FDA-controlled BOMs</t>
        </is>
      </c>
    </row>
    <row r="19" ht="36" customHeight="1">
      <c r="A19" s="4" t="inlineStr">
        <is>
          <t>Quality / Compliance</t>
        </is>
      </c>
      <c r="B19" s="4" t="inlineStr">
        <is>
          <t>Lot tracking</t>
        </is>
      </c>
      <c r="C19" s="4" t="inlineStr">
        <is>
          <t>MISys (good in MISys; weaker downstream into QB)</t>
        </is>
      </c>
      <c r="D19" s="4" t="inlineStr">
        <is>
          <t>Native, end-to-end</t>
        </is>
      </c>
      <c r="E19" s="4" t="inlineStr">
        <is>
          <t>Native, end-to-end</t>
        </is>
      </c>
      <c r="F19" s="5" t="inlineStr">
        <is>
          <t>High</t>
        </is>
      </c>
      <c r="G19" s="4" t="inlineStr">
        <is>
          <t>FDA recall query speed</t>
        </is>
      </c>
    </row>
    <row r="20" ht="36" customHeight="1">
      <c r="A20" s="6" t="inlineStr">
        <is>
          <t>Quality / Compliance</t>
        </is>
      </c>
      <c r="B20" s="6" t="inlineStr">
        <is>
          <t>Serial number tracking</t>
        </is>
      </c>
      <c r="C20" s="6" t="inlineStr">
        <is>
          <t>MISys</t>
        </is>
      </c>
      <c r="D20" s="6" t="inlineStr">
        <is>
          <t>Native</t>
        </is>
      </c>
      <c r="E20" s="6" t="inlineStr">
        <is>
          <t>Native</t>
        </is>
      </c>
      <c r="F20" s="5" t="inlineStr">
        <is>
          <t>High</t>
        </is>
      </c>
      <c r="G20" s="6" t="inlineStr"/>
    </row>
    <row r="21" ht="36" customHeight="1">
      <c r="A21" s="4" t="inlineStr">
        <is>
          <t>Quality / Compliance</t>
        </is>
      </c>
      <c r="B21" s="4" t="inlineStr">
        <is>
          <t>UDI barcode handling</t>
        </is>
      </c>
      <c r="C21" s="4" t="inlineStr">
        <is>
          <t>Configurable / 3rd party</t>
        </is>
      </c>
      <c r="D21" s="4" t="inlineStr">
        <is>
          <t>Native</t>
        </is>
      </c>
      <c r="E21" s="4" t="inlineStr">
        <is>
          <t>Native + validation packs</t>
        </is>
      </c>
      <c r="F21" s="5" t="inlineStr">
        <is>
          <t>High</t>
        </is>
      </c>
      <c r="G21" s="4" t="inlineStr">
        <is>
          <t>Required for Class II devices in 53+ export markets</t>
        </is>
      </c>
    </row>
    <row r="22" ht="36" customHeight="1">
      <c r="A22" s="6" t="inlineStr">
        <is>
          <t>Quality / Compliance</t>
        </is>
      </c>
      <c r="B22" s="6" t="inlineStr">
        <is>
          <t>Embedded NCR / CAPA / inspection</t>
        </is>
      </c>
      <c r="C22" s="6" t="inlineStr">
        <is>
          <t>No — needs separate QMS</t>
        </is>
      </c>
      <c r="D22" s="6" t="inlineStr">
        <is>
          <t>Native module included</t>
        </is>
      </c>
      <c r="E22" s="6" t="inlineStr">
        <is>
          <t>Native + 3rd party validation</t>
        </is>
      </c>
      <c r="F22" s="5" t="inlineStr">
        <is>
          <t>High</t>
        </is>
      </c>
      <c r="G22" s="6" t="inlineStr">
        <is>
          <t>Drives whether separate QMS spend is needed</t>
        </is>
      </c>
    </row>
    <row r="23" ht="36" customHeight="1">
      <c r="A23" s="4" t="inlineStr">
        <is>
          <t>Quality / Compliance</t>
        </is>
      </c>
      <c r="B23" s="4" t="inlineStr">
        <is>
          <t>21 CFR Part 11 audit trail</t>
        </is>
      </c>
      <c r="C23" s="4" t="inlineStr">
        <is>
          <t>QB lacks; needs separate validated QMS</t>
        </is>
      </c>
      <c r="D23" s="4" t="inlineStr">
        <is>
          <t>Strong native audit trail</t>
        </is>
      </c>
      <c r="E23" s="4" t="inlineStr">
        <is>
          <t>Strong native audit trail; validation packs widely available</t>
        </is>
      </c>
      <c r="F23" s="5" t="inlineStr">
        <is>
          <t>High</t>
        </is>
      </c>
      <c r="G23" s="4" t="inlineStr">
        <is>
          <t>Auditor-facing</t>
        </is>
      </c>
    </row>
    <row r="24" ht="36" customHeight="1">
      <c r="A24" s="6" t="inlineStr">
        <is>
          <t>Quality / Compliance</t>
        </is>
      </c>
      <c r="B24" s="6" t="inlineStr">
        <is>
          <t>ISO 13485 posture out of the box</t>
        </is>
      </c>
      <c r="C24" s="6" t="inlineStr">
        <is>
          <t>Workable with bolt-on QMS</t>
        </is>
      </c>
      <c r="D24" s="6" t="inlineStr">
        <is>
          <t>Stronger native support</t>
        </is>
      </c>
      <c r="E24" s="6" t="inlineStr">
        <is>
          <t>Strongest native + validation pack ecosystem</t>
        </is>
      </c>
      <c r="F24" s="5" t="inlineStr">
        <is>
          <t>High</t>
        </is>
      </c>
      <c r="G24" s="6" t="inlineStr"/>
    </row>
    <row r="25" ht="36" customHeight="1">
      <c r="A25" s="4" t="inlineStr">
        <is>
          <t>Quality / Compliance</t>
        </is>
      </c>
      <c r="B25" s="4" t="inlineStr">
        <is>
          <t>Document control / SOPs</t>
        </is>
      </c>
      <c r="C25" s="4" t="inlineStr">
        <is>
          <t>External (SharePoint, etc.)</t>
        </is>
      </c>
      <c r="D25" s="4" t="inlineStr">
        <is>
          <t>Embedded</t>
        </is>
      </c>
      <c r="E25" s="4" t="inlineStr">
        <is>
          <t>Embedded + 3rd party</t>
        </is>
      </c>
      <c r="F25" s="7" t="inlineStr">
        <is>
          <t>Medium</t>
        </is>
      </c>
      <c r="G25" s="4" t="inlineStr"/>
    </row>
    <row r="26" ht="36" customHeight="1">
      <c r="A26" s="6" t="inlineStr">
        <is>
          <t>Quality / Compliance</t>
        </is>
      </c>
      <c r="B26" s="6" t="inlineStr">
        <is>
          <t>Training records</t>
        </is>
      </c>
      <c r="C26" s="6" t="inlineStr">
        <is>
          <t>External</t>
        </is>
      </c>
      <c r="D26" s="6" t="inlineStr">
        <is>
          <t>Embedded</t>
        </is>
      </c>
      <c r="E26" s="6" t="inlineStr">
        <is>
          <t>Embedded + 3rd party</t>
        </is>
      </c>
      <c r="F26" s="7" t="inlineStr">
        <is>
          <t>Medium</t>
        </is>
      </c>
      <c r="G26" s="6" t="inlineStr"/>
    </row>
    <row r="27" ht="36" customHeight="1">
      <c r="A27" s="4" t="inlineStr">
        <is>
          <t>Inventory &amp; Distribution</t>
        </is>
      </c>
      <c r="B27" s="4" t="inlineStr">
        <is>
          <t>Multi-warehouse</t>
        </is>
      </c>
      <c r="C27" s="4" t="inlineStr">
        <is>
          <t>MISys (good)</t>
        </is>
      </c>
      <c r="D27" s="4" t="inlineStr">
        <is>
          <t>Native</t>
        </is>
      </c>
      <c r="E27" s="4" t="inlineStr">
        <is>
          <t>Native</t>
        </is>
      </c>
      <c r="F27" s="7" t="inlineStr">
        <is>
          <t>Medium</t>
        </is>
      </c>
      <c r="G27" s="4" t="inlineStr">
        <is>
          <t>Sleepnet is single-facility currently</t>
        </is>
      </c>
    </row>
    <row r="28" ht="36" customHeight="1">
      <c r="A28" s="6" t="inlineStr">
        <is>
          <t>Inventory &amp; Distribution</t>
        </is>
      </c>
      <c r="B28" s="6" t="inlineStr">
        <is>
          <t>Lot expiration / shelf life tracking</t>
        </is>
      </c>
      <c r="C28" s="6" t="inlineStr">
        <is>
          <t>MISys</t>
        </is>
      </c>
      <c r="D28" s="6" t="inlineStr">
        <is>
          <t>Native</t>
        </is>
      </c>
      <c r="E28" s="6" t="inlineStr">
        <is>
          <t>Native</t>
        </is>
      </c>
      <c r="F28" s="7" t="inlineStr">
        <is>
          <t>Medium</t>
        </is>
      </c>
      <c r="G28" s="6" t="inlineStr">
        <is>
          <t>Relevant for some medical components</t>
        </is>
      </c>
    </row>
    <row r="29" ht="36" customHeight="1">
      <c r="A29" s="4" t="inlineStr">
        <is>
          <t>Inventory &amp; Distribution</t>
        </is>
      </c>
      <c r="B29" s="4" t="inlineStr">
        <is>
          <t>International shipping documentation</t>
        </is>
      </c>
      <c r="C29" s="4" t="inlineStr">
        <is>
          <t>External</t>
        </is>
      </c>
      <c r="D29" s="4" t="inlineStr">
        <is>
          <t>Native modules available</t>
        </is>
      </c>
      <c r="E29" s="4" t="inlineStr">
        <is>
          <t>Native (deepest)</t>
        </is>
      </c>
      <c r="F29" s="7" t="inlineStr">
        <is>
          <t>Medium</t>
        </is>
      </c>
      <c r="G29" s="4" t="inlineStr">
        <is>
          <t>Sleepnet exports to 53+ countries</t>
        </is>
      </c>
    </row>
    <row r="30" ht="36" customHeight="1">
      <c r="A30" s="6" t="inlineStr">
        <is>
          <t>Inventory &amp; Distribution</t>
        </is>
      </c>
      <c r="B30" s="6" t="inlineStr">
        <is>
          <t>Distributor portal</t>
        </is>
      </c>
      <c r="C30" s="6" t="inlineStr">
        <is>
          <t>No native</t>
        </is>
      </c>
      <c r="D30" s="6" t="inlineStr">
        <is>
          <t>Optional module</t>
        </is>
      </c>
      <c r="E30" s="6" t="inlineStr">
        <is>
          <t>Optional module</t>
        </is>
      </c>
      <c r="F30" s="8" t="inlineStr">
        <is>
          <t>Low</t>
        </is>
      </c>
      <c r="G30" s="6" t="inlineStr"/>
    </row>
    <row r="31" ht="36" customHeight="1">
      <c r="A31" s="4" t="inlineStr">
        <is>
          <t>Inventory &amp; Distribution</t>
        </is>
      </c>
      <c r="B31" s="4" t="inlineStr">
        <is>
          <t>EDI</t>
        </is>
      </c>
      <c r="C31" s="4" t="inlineStr">
        <is>
          <t>Via 3rd party</t>
        </is>
      </c>
      <c r="D31" s="4" t="inlineStr">
        <is>
          <t>Via 3rd party or partner</t>
        </is>
      </c>
      <c r="E31" s="4" t="inlineStr">
        <is>
          <t>Native + partner ecosystem</t>
        </is>
      </c>
      <c r="F31" s="8" t="inlineStr">
        <is>
          <t>Low</t>
        </is>
      </c>
      <c r="G31" s="4" t="inlineStr">
        <is>
          <t>Required for big-box retail; not Sleepnet's current channel</t>
        </is>
      </c>
    </row>
    <row r="32" ht="36" customHeight="1">
      <c r="A32" s="6" t="inlineStr">
        <is>
          <t>Reporting / Analytics</t>
        </is>
      </c>
      <c r="B32" s="6" t="inlineStr">
        <is>
          <t>Native dashboards</t>
        </is>
      </c>
      <c r="C32" s="6" t="inlineStr">
        <is>
          <t>Limited; export to Excel typical</t>
        </is>
      </c>
      <c r="D32" s="6" t="inlineStr">
        <is>
          <t>Native dashboards</t>
        </is>
      </c>
      <c r="E32" s="6" t="inlineStr">
        <is>
          <t>SuiteAnalytics (mature)</t>
        </is>
      </c>
      <c r="F32" s="5" t="inlineStr">
        <is>
          <t>High</t>
        </is>
      </c>
      <c r="G32" s="6" t="inlineStr"/>
    </row>
    <row r="33" ht="36" customHeight="1">
      <c r="A33" s="4" t="inlineStr">
        <is>
          <t>Reporting / Analytics</t>
        </is>
      </c>
      <c r="B33" s="4" t="inlineStr">
        <is>
          <t>Self-service report builder</t>
        </is>
      </c>
      <c r="C33" s="4" t="inlineStr">
        <is>
          <t>Limited</t>
        </is>
      </c>
      <c r="D33" s="4" t="inlineStr">
        <is>
          <t>Yes (Generic Inquiry)</t>
        </is>
      </c>
      <c r="E33" s="4" t="inlineStr">
        <is>
          <t>Yes (SuiteAnalytics Workbook)</t>
        </is>
      </c>
      <c r="F33" s="7" t="inlineStr">
        <is>
          <t>Medium</t>
        </is>
      </c>
      <c r="G33" s="4" t="inlineStr"/>
    </row>
    <row r="34" ht="36" customHeight="1">
      <c r="A34" s="6" t="inlineStr">
        <is>
          <t>Reporting / Analytics</t>
        </is>
      </c>
      <c r="B34" s="6" t="inlineStr">
        <is>
          <t>Power BI / Tableau integration</t>
        </is>
      </c>
      <c r="C34" s="6" t="inlineStr">
        <is>
          <t>Via export</t>
        </is>
      </c>
      <c r="D34" s="6" t="inlineStr">
        <is>
          <t>Native API / OData</t>
        </is>
      </c>
      <c r="E34" s="6" t="inlineStr">
        <is>
          <t>Native connectors</t>
        </is>
      </c>
      <c r="F34" s="7" t="inlineStr">
        <is>
          <t>Medium</t>
        </is>
      </c>
      <c r="G34" s="6" t="inlineStr"/>
    </row>
    <row r="35" ht="36" customHeight="1">
      <c r="A35" s="4" t="inlineStr">
        <is>
          <t>Reporting / Analytics</t>
        </is>
      </c>
      <c r="B35" s="4" t="inlineStr">
        <is>
          <t>Real-time KPI scorecards</t>
        </is>
      </c>
      <c r="C35" s="4" t="inlineStr">
        <is>
          <t>Manual via Excel</t>
        </is>
      </c>
      <c r="D35" s="4" t="inlineStr">
        <is>
          <t>Native widgets</t>
        </is>
      </c>
      <c r="E35" s="4" t="inlineStr">
        <is>
          <t>Native widgets</t>
        </is>
      </c>
      <c r="F35" s="7" t="inlineStr">
        <is>
          <t>Medium</t>
        </is>
      </c>
      <c r="G35" s="4" t="inlineStr">
        <is>
          <t>Cuts the manual production-report assembly time</t>
        </is>
      </c>
    </row>
    <row r="36" ht="36" customHeight="1">
      <c r="A36" s="6" t="inlineStr">
        <is>
          <t>CRM / Sales</t>
        </is>
      </c>
      <c r="B36" s="6" t="inlineStr">
        <is>
          <t>Built-in CRM</t>
        </is>
      </c>
      <c r="C36" s="6" t="inlineStr">
        <is>
          <t>No (3rd party)</t>
        </is>
      </c>
      <c r="D36" s="6" t="inlineStr">
        <is>
          <t>Native CRM included</t>
        </is>
      </c>
      <c r="E36" s="6" t="inlineStr">
        <is>
          <t>Native CRM included</t>
        </is>
      </c>
      <c r="F36" s="8" t="inlineStr">
        <is>
          <t>Low (today)</t>
        </is>
      </c>
      <c r="G36" s="6" t="inlineStr">
        <is>
          <t>Sleepnet uses external tools currently</t>
        </is>
      </c>
    </row>
    <row r="37" ht="36" customHeight="1">
      <c r="A37" s="4" t="inlineStr">
        <is>
          <t>CRM / Sales</t>
        </is>
      </c>
      <c r="B37" s="4" t="inlineStr">
        <is>
          <t>Quote-to-cash workflow</t>
        </is>
      </c>
      <c r="C37" s="4" t="inlineStr">
        <is>
          <t>Via QB + MISys + manual</t>
        </is>
      </c>
      <c r="D37" s="4" t="inlineStr">
        <is>
          <t>Native end-to-end</t>
        </is>
      </c>
      <c r="E37" s="4" t="inlineStr">
        <is>
          <t>Native end-to-end</t>
        </is>
      </c>
      <c r="F37" s="8" t="inlineStr">
        <is>
          <t>Low</t>
        </is>
      </c>
      <c r="G37" s="4" t="inlineStr"/>
    </row>
    <row r="38" ht="36" customHeight="1">
      <c r="A38" s="6" t="inlineStr">
        <is>
          <t>Project / Service</t>
        </is>
      </c>
      <c r="B38" s="6" t="inlineStr">
        <is>
          <t>Project accounting</t>
        </is>
      </c>
      <c r="C38" s="6" t="inlineStr">
        <is>
          <t>Limited (QB)</t>
        </is>
      </c>
      <c r="D38" s="6" t="inlineStr">
        <is>
          <t>Native</t>
        </is>
      </c>
      <c r="E38" s="6" t="inlineStr">
        <is>
          <t>Native</t>
        </is>
      </c>
      <c r="F38" s="8" t="inlineStr">
        <is>
          <t>Low</t>
        </is>
      </c>
      <c r="G38" s="6" t="inlineStr"/>
    </row>
    <row r="39" ht="36" customHeight="1">
      <c r="A39" s="4" t="inlineStr">
        <is>
          <t>Project / Service</t>
        </is>
      </c>
      <c r="B39" s="4" t="inlineStr">
        <is>
          <t>Field service management</t>
        </is>
      </c>
      <c r="C39" s="4" t="inlineStr">
        <is>
          <t>No</t>
        </is>
      </c>
      <c r="D39" s="4" t="inlineStr">
        <is>
          <t>Native module</t>
        </is>
      </c>
      <c r="E39" s="4" t="inlineStr">
        <is>
          <t>Native module</t>
        </is>
      </c>
      <c r="F39" s="8" t="inlineStr">
        <is>
          <t>Low</t>
        </is>
      </c>
      <c r="G39" s="4" t="inlineStr"/>
    </row>
    <row r="40" ht="36" customHeight="1">
      <c r="A40" s="6" t="inlineStr">
        <is>
          <t>Pricing &amp; TCO</t>
        </is>
      </c>
      <c r="B40" s="6" t="inlineStr">
        <is>
          <t>Software licensing model</t>
        </is>
      </c>
      <c r="C40" s="6" t="inlineStr">
        <is>
          <t>Per-user (~$30-$50/mo MISys + QB seats)</t>
        </is>
      </c>
      <c r="D40" s="6" t="inlineStr">
        <is>
          <t>Per-resource / transaction volume — unlimited users</t>
        </is>
      </c>
      <c r="E40" s="6" t="inlineStr">
        <is>
          <t>Per-user ($129-$199/mo + base)</t>
        </is>
      </c>
      <c r="F40" s="5" t="inlineStr">
        <is>
          <t>High</t>
        </is>
      </c>
      <c r="G40" s="6" t="inlineStr">
        <is>
          <t>Per-user models penalize shop-floor expansion</t>
        </is>
      </c>
    </row>
    <row r="41" ht="36" customHeight="1">
      <c r="A41" s="4" t="inlineStr">
        <is>
          <t>Pricing &amp; TCO</t>
        </is>
      </c>
      <c r="B41" s="4" t="inlineStr">
        <is>
          <t>Year 1 software cost (typical)</t>
        </is>
      </c>
      <c r="C41" s="4" t="inlineStr">
        <is>
          <t>$5K-$15K</t>
        </is>
      </c>
      <c r="D41" s="4" t="inlineStr">
        <is>
          <t>$25K-$60K</t>
        </is>
      </c>
      <c r="E41" s="4" t="inlineStr">
        <is>
          <t>$50K-$120K</t>
        </is>
      </c>
      <c r="F41" s="5" t="inlineStr">
        <is>
          <t>High</t>
        </is>
      </c>
      <c r="G41" s="4" t="inlineStr"/>
    </row>
    <row r="42" ht="36" customHeight="1">
      <c r="A42" s="6" t="inlineStr">
        <is>
          <t>Pricing &amp; TCO</t>
        </is>
      </c>
      <c r="B42" s="6" t="inlineStr">
        <is>
          <t>Implementation cost (typical)</t>
        </is>
      </c>
      <c r="C42" s="6" t="inlineStr">
        <is>
          <t>$2K-$20K</t>
        </is>
      </c>
      <c r="D42" s="6" t="inlineStr">
        <is>
          <t>$30K-$100K+</t>
        </is>
      </c>
      <c r="E42" s="6" t="inlineStr">
        <is>
          <t>$50K-$200K</t>
        </is>
      </c>
      <c r="F42" s="5" t="inlineStr">
        <is>
          <t>High</t>
        </is>
      </c>
      <c r="G42" s="6" t="inlineStr"/>
    </row>
    <row r="43" ht="36" customHeight="1">
      <c r="A43" s="4" t="inlineStr">
        <is>
          <t>Pricing &amp; TCO</t>
        </is>
      </c>
      <c r="B43" s="4" t="inlineStr">
        <is>
          <t>Annual subscription years 2+</t>
        </is>
      </c>
      <c r="C43" s="4" t="inlineStr">
        <is>
          <t>$5K-$15K</t>
        </is>
      </c>
      <c r="D43" s="4" t="inlineStr">
        <is>
          <t>$25K-$80K</t>
        </is>
      </c>
      <c r="E43" s="4" t="inlineStr">
        <is>
          <t>$50K-$150K</t>
        </is>
      </c>
      <c r="F43" s="5" t="inlineStr">
        <is>
          <t>High</t>
        </is>
      </c>
      <c r="G43" s="4" t="inlineStr"/>
    </row>
    <row r="44" ht="36" customHeight="1">
      <c r="A44" s="6" t="inlineStr">
        <is>
          <t>Pricing &amp; TCO</t>
        </is>
      </c>
      <c r="B44" s="6" t="inlineStr">
        <is>
          <t>Implementation timeline</t>
        </is>
      </c>
      <c r="C44" s="6" t="inlineStr">
        <is>
          <t>2-6 weeks</t>
        </is>
      </c>
      <c r="D44" s="6" t="inlineStr">
        <is>
          <t>2-3 months</t>
        </is>
      </c>
      <c r="E44" s="6" t="inlineStr">
        <is>
          <t>4-6 months</t>
        </is>
      </c>
      <c r="F44" s="7" t="inlineStr">
        <is>
          <t>Medium</t>
        </is>
      </c>
      <c r="G44" s="6" t="inlineStr">
        <is>
          <t>Affects when the benefits actually start</t>
        </is>
      </c>
    </row>
    <row r="45" ht="36" customHeight="1">
      <c r="A45" s="4" t="inlineStr">
        <is>
          <t>Pricing &amp; TCO</t>
        </is>
      </c>
      <c r="B45" s="4" t="inlineStr">
        <is>
          <t>Internal change management burden</t>
        </is>
      </c>
      <c r="C45" s="4" t="inlineStr">
        <is>
          <t>Low</t>
        </is>
      </c>
      <c r="D45" s="4" t="inlineStr">
        <is>
          <t>Moderate</t>
        </is>
      </c>
      <c r="E45" s="4" t="inlineStr">
        <is>
          <t>High</t>
        </is>
      </c>
      <c r="F45" s="7" t="inlineStr">
        <is>
          <t>Medium</t>
        </is>
      </c>
      <c r="G45" s="4" t="inlineStr"/>
    </row>
    <row r="46" ht="36" customHeight="1">
      <c r="A46" s="6" t="inlineStr">
        <is>
          <t>Vendor / Ecosystem</t>
        </is>
      </c>
      <c r="B46" s="6" t="inlineStr">
        <is>
          <t>Direct vendor support</t>
        </is>
      </c>
      <c r="C46" s="6" t="inlineStr">
        <is>
          <t>MISys + Intuit (small)</t>
        </is>
      </c>
      <c r="D46" s="6" t="inlineStr">
        <is>
          <t>Acumatica + VAR partner</t>
        </is>
      </c>
      <c r="E46" s="6" t="inlineStr">
        <is>
          <t>Oracle direct + partner</t>
        </is>
      </c>
      <c r="F46" s="7" t="inlineStr">
        <is>
          <t>Medium</t>
        </is>
      </c>
      <c r="G46" s="6" t="inlineStr"/>
    </row>
    <row r="47" ht="36" customHeight="1">
      <c r="A47" s="4" t="inlineStr">
        <is>
          <t>Vendor / Ecosystem</t>
        </is>
      </c>
      <c r="B47" s="4" t="inlineStr">
        <is>
          <t>Partner ecosystem size</t>
        </is>
      </c>
      <c r="C47" s="4" t="inlineStr">
        <is>
          <t>Modest</t>
        </is>
      </c>
      <c r="D47" s="4" t="inlineStr">
        <is>
          <t>Growing rapidly</t>
        </is>
      </c>
      <c r="E47" s="4" t="inlineStr">
        <is>
          <t>Largest of the three</t>
        </is>
      </c>
      <c r="F47" s="7" t="inlineStr">
        <is>
          <t>Medium</t>
        </is>
      </c>
      <c r="G47" s="4" t="inlineStr"/>
    </row>
    <row r="48" ht="36" customHeight="1">
      <c r="A48" s="6" t="inlineStr">
        <is>
          <t>Vendor / Ecosystem</t>
        </is>
      </c>
      <c r="B48" s="6" t="inlineStr">
        <is>
          <t>Customization / extensibility</t>
        </is>
      </c>
      <c r="C48" s="6" t="inlineStr">
        <is>
          <t>Limited</t>
        </is>
      </c>
      <c r="D48" s="6" t="inlineStr">
        <is>
          <t>Strong (Acumatica xRP framework)</t>
        </is>
      </c>
      <c r="E48" s="6" t="inlineStr">
        <is>
          <t>Strong (SuiteScript)</t>
        </is>
      </c>
      <c r="F48" s="8" t="inlineStr">
        <is>
          <t>Low</t>
        </is>
      </c>
      <c r="G48" s="6" t="inlineStr">
        <is>
          <t>Sleepnet doesn't need heavy customization today</t>
        </is>
      </c>
    </row>
  </sheetData>
  <autoFilter ref="A4:G48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22" customWidth="1" min="4" max="4"/>
    <col width="50" customWidth="1" min="5" max="5"/>
  </cols>
  <sheetData>
    <row r="1">
      <c r="A1" s="1" t="inlineStr">
        <is>
          <t>Sleepnet ERP — 3-Year Total Cost of Ownership</t>
        </is>
      </c>
    </row>
    <row r="2">
      <c r="A2" s="2" t="inlineStr">
        <is>
          <t>Edit the green input cells to model your own scenario. Output cells update automatically.</t>
        </is>
      </c>
    </row>
    <row r="4">
      <c r="A4" s="9" t="inlineStr">
        <is>
          <t>INPUTS (edit green cells)</t>
        </is>
      </c>
    </row>
    <row r="5">
      <c r="A5" s="10" t="inlineStr">
        <is>
          <t>Number of named ERP users</t>
        </is>
      </c>
      <c r="B5" s="11" t="n">
        <v>10</v>
      </c>
    </row>
    <row r="6">
      <c r="A6" s="10" t="inlineStr">
        <is>
          <t>Number of shop-floor user logins</t>
        </is>
      </c>
      <c r="B6" s="11" t="n">
        <v>5</v>
      </c>
    </row>
    <row r="7">
      <c r="A7" s="10" t="inlineStr">
        <is>
          <t>Annual transaction volume (orders + invoices)</t>
        </is>
      </c>
      <c r="B7" s="11" t="n">
        <v>5000</v>
      </c>
    </row>
    <row r="8">
      <c r="A8" s="10" t="inlineStr">
        <is>
          <t>Currently using a separate QMS? (1=Yes, 0=No)</t>
        </is>
      </c>
      <c r="B8" s="11" t="n">
        <v>1</v>
      </c>
    </row>
    <row r="9">
      <c r="A9" s="10" t="inlineStr">
        <is>
          <t>Annual QMS subscription if kept ($)</t>
        </is>
      </c>
      <c r="B9" s="11" t="n">
        <v>15000</v>
      </c>
    </row>
    <row r="12">
      <c r="A12" s="9" t="inlineStr">
        <is>
          <t>COST MODEL (3-Year)</t>
        </is>
      </c>
    </row>
    <row r="13">
      <c r="A13" s="12" t="inlineStr">
        <is>
          <t>Cost Component</t>
        </is>
      </c>
      <c r="B13" s="12" t="inlineStr">
        <is>
          <t>Stay (MISys+QB)</t>
        </is>
      </c>
      <c r="C13" s="12" t="inlineStr">
        <is>
          <t>Acumatica Mfg</t>
        </is>
      </c>
      <c r="D13" s="12" t="inlineStr">
        <is>
          <t>NetSuite Mfg</t>
        </is>
      </c>
      <c r="E13" s="12" t="inlineStr">
        <is>
          <t>Notes</t>
        </is>
      </c>
    </row>
    <row r="14">
      <c r="A14" s="13" t="inlineStr">
        <is>
          <t>Year 1 software licensing</t>
        </is>
      </c>
      <c r="B14" s="14">
        <f>B5*40*12 + 2400</f>
        <v/>
      </c>
      <c r="C14" s="14">
        <f>MAX(25000, B5*250 + B7*2)</f>
        <v/>
      </c>
      <c r="D14" s="14">
        <f>11988 + B5*1788</f>
        <v/>
      </c>
      <c r="E14" s="13" t="inlineStr">
        <is>
          <t>User-based vs. resource-based vs. user-based</t>
        </is>
      </c>
    </row>
    <row r="15">
      <c r="A15" s="15" t="inlineStr">
        <is>
          <t>Implementation (one-time)</t>
        </is>
      </c>
      <c r="B15" s="16">
        <f>5000</f>
        <v/>
      </c>
      <c r="C15" s="16">
        <f>60000</f>
        <v/>
      </c>
      <c r="D15" s="16">
        <f>120000</f>
        <v/>
      </c>
      <c r="E15" s="15" t="inlineStr">
        <is>
          <t>Out-of-box config; heavy custom doubles these</t>
        </is>
      </c>
    </row>
    <row r="16">
      <c r="A16" s="13" t="inlineStr">
        <is>
          <t>Data migration (one-time)</t>
        </is>
      </c>
      <c r="B16" s="14">
        <f>0</f>
        <v/>
      </c>
      <c r="C16" s="14">
        <f>8000</f>
        <v/>
      </c>
      <c r="D16" s="14">
        <f>15000</f>
        <v/>
      </c>
      <c r="E16" s="13" t="inlineStr">
        <is>
          <t>Stay path = no migration</t>
        </is>
      </c>
    </row>
    <row r="17">
      <c r="A17" s="15" t="inlineStr">
        <is>
          <t>Training (one-time)</t>
        </is>
      </c>
      <c r="B17" s="16">
        <f>0</f>
        <v/>
      </c>
      <c r="C17" s="16">
        <f>B5*600</f>
        <v/>
      </c>
      <c r="D17" s="16">
        <f>B5*1200</f>
        <v/>
      </c>
      <c r="E17" s="15" t="inlineStr">
        <is>
          <t>Per-user training scales with team</t>
        </is>
      </c>
    </row>
    <row r="18">
      <c r="A18" s="13" t="inlineStr">
        <is>
          <t>Separate QMS year 1 (if kept)</t>
        </is>
      </c>
      <c r="B18" s="14">
        <f>B8*B9</f>
        <v/>
      </c>
      <c r="C18" s="14">
        <f>B8*B9*0.5</f>
        <v/>
      </c>
      <c r="D18" s="14">
        <f>B8*B9*0.2</f>
        <v/>
      </c>
      <c r="E18" s="13" t="inlineStr">
        <is>
          <t>QMS need shrinks with native modules</t>
        </is>
      </c>
    </row>
    <row r="19">
      <c r="A19" s="15" t="inlineStr">
        <is>
          <t>Internal labor (PM + change mgmt)</t>
        </is>
      </c>
      <c r="B19" s="16">
        <f>2500</f>
        <v/>
      </c>
      <c r="C19" s="16">
        <f>15000</f>
        <v/>
      </c>
      <c r="D19" s="16">
        <f>25000</f>
        <v/>
      </c>
      <c r="E19" s="15" t="inlineStr">
        <is>
          <t>Conservative; real projects often 20-30% more</t>
        </is>
      </c>
    </row>
    <row r="20">
      <c r="A20" s="17" t="inlineStr">
        <is>
          <t>YEAR 1 SUBTOTAL</t>
        </is>
      </c>
      <c r="B20" s="18">
        <f>SUM(B14:B19)</f>
        <v/>
      </c>
      <c r="C20" s="18">
        <f>SUM(C14:C19)</f>
        <v/>
      </c>
      <c r="D20" s="18">
        <f>SUM(D14:D19)</f>
        <v/>
      </c>
      <c r="E20" s="17" t="inlineStr"/>
    </row>
    <row r="21">
      <c r="A21" s="15" t="inlineStr">
        <is>
          <t>Year 2 ongoing</t>
        </is>
      </c>
      <c r="B21" s="16">
        <f>B14+B18</f>
        <v/>
      </c>
      <c r="C21" s="16">
        <f>C14+C18</f>
        <v/>
      </c>
      <c r="D21" s="16">
        <f>D14+D18</f>
        <v/>
      </c>
      <c r="E21" s="15" t="inlineStr">
        <is>
          <t>Software + ongoing QMS</t>
        </is>
      </c>
    </row>
    <row r="22">
      <c r="A22" s="13" t="inlineStr">
        <is>
          <t>Year 3 ongoing</t>
        </is>
      </c>
      <c r="B22" s="14">
        <f>B14+B18</f>
        <v/>
      </c>
      <c r="C22" s="14">
        <f>C14+C18</f>
        <v/>
      </c>
      <c r="D22" s="14">
        <f>D14+D18</f>
        <v/>
      </c>
      <c r="E22" s="13" t="inlineStr"/>
    </row>
    <row r="23">
      <c r="A23" s="17" t="inlineStr">
        <is>
          <t>3-YEAR TOTAL</t>
        </is>
      </c>
      <c r="B23" s="18">
        <f>B20+B21+B22</f>
        <v/>
      </c>
      <c r="C23" s="18">
        <f>C20+C21+C22</f>
        <v/>
      </c>
      <c r="D23" s="18">
        <f>D20+D21+D22</f>
        <v/>
      </c>
      <c r="E23" s="17" t="inlineStr"/>
    </row>
    <row r="25">
      <c r="A25" s="9" t="inlineStr">
        <is>
          <t>3-YEAR DELTA vs. STAY</t>
        </is>
      </c>
    </row>
    <row r="26">
      <c r="A26" s="10" t="inlineStr">
        <is>
          <t>Acumatica vs. Stay</t>
        </is>
      </c>
      <c r="B26" s="19">
        <f>C23-B23</f>
        <v/>
      </c>
    </row>
    <row r="27">
      <c r="A27" s="10" t="inlineStr">
        <is>
          <t>NetSuite vs. Stay</t>
        </is>
      </c>
      <c r="B27" s="19">
        <f>D23-B23</f>
        <v/>
      </c>
    </row>
  </sheetData>
  <mergeCells count="5">
    <mergeCell ref="A12:E12"/>
    <mergeCell ref="A4:E4"/>
    <mergeCell ref="A2:E2"/>
    <mergeCell ref="A25:E25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35" customWidth="1" min="3" max="3"/>
  </cols>
  <sheetData>
    <row r="1">
      <c r="A1" s="1" t="inlineStr">
        <is>
          <t>Decision Triggers — When to Move, When to Stay</t>
        </is>
      </c>
    </row>
    <row r="3">
      <c r="A3" s="20" t="inlineStr">
        <is>
          <t>STAY on MISys + QuickBooks if any are true</t>
        </is>
      </c>
      <c r="B3" s="21" t="n"/>
      <c r="C3" s="22" t="n"/>
    </row>
    <row r="4">
      <c r="A4" s="23" t="inlineStr">
        <is>
          <t>Trigger</t>
        </is>
      </c>
      <c r="B4" s="23" t="inlineStr">
        <is>
          <t>Currently True at Sleepnet?</t>
        </is>
      </c>
      <c r="C4" s="23" t="inlineStr">
        <is>
          <t>Notes</t>
        </is>
      </c>
    </row>
    <row r="5">
      <c r="A5" s="6" t="inlineStr">
        <is>
          <t>MISys is meeting current production planning needs</t>
        </is>
      </c>
      <c r="B5" s="24" t="inlineStr"/>
      <c r="C5" s="6" t="inlineStr">
        <is>
          <t>Ronnie's assessment</t>
        </is>
      </c>
    </row>
    <row r="6">
      <c r="A6" s="6" t="inlineStr">
        <is>
          <t>Bookkeeping team is comfortable with QB sync</t>
        </is>
      </c>
      <c r="B6" s="24" t="inlineStr"/>
      <c r="C6" s="6" t="inlineStr">
        <is>
          <t>Bookkeeper's assessment</t>
        </is>
      </c>
    </row>
    <row r="7">
      <c r="A7" s="6" t="inlineStr">
        <is>
          <t>No second legal entity / international sub planned in next 18 months</t>
        </is>
      </c>
      <c r="B7" s="24" t="inlineStr"/>
      <c r="C7" s="6" t="inlineStr">
        <is>
          <t>Strategic planning input</t>
        </is>
      </c>
    </row>
    <row r="8">
      <c r="A8" s="6" t="inlineStr">
        <is>
          <t>Recent ISO 13485 audits have been clean</t>
        </is>
      </c>
      <c r="B8" s="24" t="inlineStr"/>
      <c r="C8" s="6" t="inlineStr">
        <is>
          <t>Quality function input</t>
        </is>
      </c>
    </row>
    <row r="9">
      <c r="A9" s="6" t="inlineStr">
        <is>
          <t>Recall queries answered within FDA expected timeframes</t>
        </is>
      </c>
      <c r="B9" s="24" t="inlineStr"/>
      <c r="C9" s="6" t="inlineStr">
        <is>
          <t>Quality function input</t>
        </is>
      </c>
    </row>
    <row r="10">
      <c r="A10" s="6" t="inlineStr">
        <is>
          <t>Product-line P&amp;L being built manually but data is reliable</t>
        </is>
      </c>
      <c r="B10" s="24" t="inlineStr"/>
      <c r="C10" s="6" t="inlineStr">
        <is>
          <t>Tom / finance input</t>
        </is>
      </c>
    </row>
    <row r="11">
      <c r="A11" s="6" t="inlineStr"/>
      <c r="B11" s="24" t="inlineStr"/>
      <c r="C11" s="6" t="inlineStr"/>
    </row>
    <row r="12">
      <c r="A12" s="20" t="inlineStr">
        <is>
          <t>MOVE TO ACUMATICA if any are true</t>
        </is>
      </c>
      <c r="B12" s="21" t="n"/>
      <c r="C12" s="22" t="n"/>
    </row>
    <row r="13">
      <c r="A13" s="23" t="inlineStr">
        <is>
          <t>Trigger</t>
        </is>
      </c>
      <c r="B13" s="23" t="inlineStr">
        <is>
          <t>Currently True at Sleepnet?</t>
        </is>
      </c>
      <c r="C13" s="23" t="inlineStr">
        <is>
          <t>Notes</t>
        </is>
      </c>
    </row>
    <row r="14">
      <c r="A14" s="6" t="inlineStr">
        <is>
          <t>Month-end close is chronic pain due to MISys/QB reconciliation</t>
        </is>
      </c>
      <c r="B14" s="24" t="inlineStr"/>
      <c r="C14" s="6" t="inlineStr">
        <is>
          <t>Bookkeeper input</t>
        </is>
      </c>
    </row>
    <row r="15">
      <c r="A15" s="6" t="inlineStr">
        <is>
          <t>Recall readiness queries take days because data split across systems</t>
        </is>
      </c>
      <c r="B15" s="24" t="inlineStr"/>
      <c r="C15" s="6" t="inlineStr">
        <is>
          <t>Quality function input</t>
        </is>
      </c>
    </row>
    <row r="16">
      <c r="A16" s="6" t="inlineStr">
        <is>
          <t>ISO 13485 auditor flagged audit trail or change control on production software</t>
        </is>
      </c>
      <c r="B16" s="24" t="inlineStr"/>
      <c r="C16" s="6" t="inlineStr">
        <is>
          <t>Audit history review</t>
        </is>
      </c>
    </row>
    <row r="17">
      <c r="A17" s="6" t="inlineStr">
        <is>
          <t>Tom/board asking for product-line P&amp;L on demand and manual rollup is too slow/unreliable</t>
        </is>
      </c>
      <c r="B17" s="24" t="inlineStr"/>
      <c r="C17" s="6" t="inlineStr">
        <is>
          <t>Tom input</t>
        </is>
      </c>
    </row>
    <row r="18">
      <c r="A18" s="6" t="inlineStr">
        <is>
          <t>Adding shop-floor users on roadmap and per-user QB licensing is starting to bite</t>
        </is>
      </c>
      <c r="B18" s="24" t="inlineStr"/>
      <c r="C18" s="6" t="inlineStr">
        <is>
          <t>Operations input</t>
        </is>
      </c>
    </row>
    <row r="19">
      <c r="A19" s="6" t="inlineStr">
        <is>
          <t>Budget runway available for 2-3 month implementation</t>
        </is>
      </c>
      <c r="B19" s="24" t="inlineStr"/>
      <c r="C19" s="6" t="inlineStr">
        <is>
          <t>CFO input</t>
        </is>
      </c>
    </row>
    <row r="20">
      <c r="A20" s="6" t="inlineStr">
        <is>
          <t>Internal owner identified for the implementation project</t>
        </is>
      </c>
      <c r="B20" s="24" t="inlineStr"/>
      <c r="C20" s="6" t="inlineStr">
        <is>
          <t>Ronnie or designated PM</t>
        </is>
      </c>
    </row>
    <row r="21">
      <c r="A21" s="6" t="inlineStr"/>
      <c r="B21" s="24" t="inlineStr"/>
      <c r="C21" s="6" t="inlineStr"/>
    </row>
    <row r="22">
      <c r="A22" s="20" t="inlineStr">
        <is>
          <t>MOVE TO NETSUITE only if any are true</t>
        </is>
      </c>
      <c r="B22" s="21" t="n"/>
      <c r="C22" s="22" t="n"/>
    </row>
    <row r="23">
      <c r="A23" s="23" t="inlineStr">
        <is>
          <t>Trigger</t>
        </is>
      </c>
      <c r="B23" s="23" t="inlineStr">
        <is>
          <t>Currently True at Sleepnet?</t>
        </is>
      </c>
      <c r="C23" s="23" t="inlineStr">
        <is>
          <t>Notes</t>
        </is>
      </c>
    </row>
    <row r="24">
      <c r="A24" s="6" t="inlineStr">
        <is>
          <t>Second legal entity on roadmap (intl sub, acquisition, carved-out unit)</t>
        </is>
      </c>
      <c r="B24" s="24" t="inlineStr"/>
      <c r="C24" s="6" t="inlineStr">
        <is>
          <t>Strategic planning</t>
        </is>
      </c>
    </row>
    <row r="25">
      <c r="A25" s="6" t="inlineStr">
        <is>
          <t>Country-specific localizations needed beyond bolt-on capabilities</t>
        </is>
      </c>
      <c r="B25" s="24" t="inlineStr"/>
      <c r="C25" s="6" t="inlineStr">
        <is>
          <t>Export strategy</t>
        </is>
      </c>
    </row>
    <row r="26">
      <c r="A26" s="6" t="inlineStr">
        <is>
          <t>Sleepnet is or will be PE-backed</t>
        </is>
      </c>
      <c r="B26" s="24" t="inlineStr"/>
      <c r="C26" s="6" t="inlineStr">
        <is>
          <t>Ownership input</t>
        </is>
      </c>
    </row>
    <row r="27">
      <c r="A27" s="6" t="inlineStr">
        <is>
          <t>Appetite for 6-month implementation and 2-3x higher annual spend</t>
        </is>
      </c>
      <c r="B27" s="24" t="inlineStr"/>
      <c r="C27" s="6" t="inlineStr">
        <is>
          <t>CFO input</t>
        </is>
      </c>
    </row>
  </sheetData>
  <mergeCells count="4">
    <mergeCell ref="A1:C1"/>
    <mergeCell ref="A3:C3"/>
    <mergeCell ref="A12:C12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2026-04-28T16:07:26Z</dcterms:created>
  <dcterms:modified xmlns:dcterms="http://purl.org/dc/terms/" xmlns:xsi="http://www.w3.org/2001/XMLSchema-instance" xsi:type="dcterms:W3CDTF">2026-04-28T16:07:26Z</dcterms:modified>
</cp:coreProperties>
</file>